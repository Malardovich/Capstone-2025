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lons\Downloads\"/>
    </mc:Choice>
  </mc:AlternateContent>
  <xr:revisionPtr revIDLastSave="0" documentId="13_ncr:1_{A7DEDC21-CA50-47E1-A20F-3D07A268CD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lle Tareas" sheetId="1" r:id="rId1"/>
    <sheet name="Flujo Caja" sheetId="2" r:id="rId2"/>
    <sheet name="Salarios del equip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E10" i="2"/>
  <c r="E6" i="2"/>
  <c r="E12" i="2"/>
  <c r="F12" i="2" s="1"/>
  <c r="E11" i="2"/>
  <c r="F11" i="2" s="1"/>
  <c r="E7" i="2"/>
  <c r="F7" i="2" s="1"/>
  <c r="E8" i="2"/>
  <c r="F8" i="2" s="1"/>
  <c r="E9" i="2"/>
  <c r="F9" i="2" s="1"/>
  <c r="F10" i="2"/>
  <c r="F6" i="2"/>
  <c r="F13" i="2" l="1"/>
</calcChain>
</file>

<file path=xl/sharedStrings.xml><?xml version="1.0" encoding="utf-8"?>
<sst xmlns="http://schemas.openxmlformats.org/spreadsheetml/2006/main" count="85" uniqueCount="76">
  <si>
    <t>Tarea</t>
  </si>
  <si>
    <t>Horas estimadas</t>
  </si>
  <si>
    <t>Tarifa humana (USD/h)</t>
  </si>
  <si>
    <t>Recurso cloud</t>
  </si>
  <si>
    <t>Cantidad</t>
  </si>
  <si>
    <t>Tarifa cloud (USD/h)</t>
  </si>
  <si>
    <t>Tarifa cloud (USD/GB-mes)</t>
  </si>
  <si>
    <t>Coste humano (USD)</t>
  </si>
  <si>
    <t>Coste cloud (USD)</t>
  </si>
  <si>
    <t>Coste total (USD)</t>
  </si>
  <si>
    <t>Mes</t>
  </si>
  <si>
    <t>Fase</t>
  </si>
  <si>
    <t>Factor descuento</t>
  </si>
  <si>
    <t>Valor US$</t>
  </si>
  <si>
    <t>Valor UF</t>
  </si>
  <si>
    <t>Tasa mensual</t>
  </si>
  <si>
    <t>(en base a tasa anual del 15% para proyectos TI)</t>
  </si>
  <si>
    <t>Costo bruto (USD)</t>
  </si>
  <si>
    <t>Costo presente (USD)</t>
  </si>
  <si>
    <t>TOTAL</t>
  </si>
  <si>
    <t>Rol</t>
  </si>
  <si>
    <t>Salario por hora (Rango CLP)</t>
  </si>
  <si>
    <t>Salario mensual (Rango CLP)</t>
  </si>
  <si>
    <t>Salario promedio por hora (CLP)</t>
  </si>
  <si>
    <t>Salario promedio mensual (CLP)</t>
  </si>
  <si>
    <t>Fuente</t>
  </si>
  <si>
    <t>9.238 - 23.095</t>
  </si>
  <si>
    <t>Talent.com / Indeed</t>
  </si>
  <si>
    <t>Tester</t>
  </si>
  <si>
    <t>Talent.com / Indeed / Computrabajo</t>
  </si>
  <si>
    <t>Talent.com / Glassdoor (Document Controller)</t>
  </si>
  <si>
    <t>Jefa de Proyecto</t>
  </si>
  <si>
    <t>Programador </t>
  </si>
  <si>
    <t>Analista</t>
  </si>
  <si>
    <t>Encargado Base de datos</t>
  </si>
  <si>
    <t>QA</t>
  </si>
  <si>
    <t>Diseñador.</t>
  </si>
  <si>
    <t>1.800.000 - 2.600.000</t>
  </si>
  <si>
    <t>2.100.000</t>
  </si>
  <si>
    <t>1.300.000 - 1.850.000</t>
  </si>
  <si>
    <t>1.500.000</t>
  </si>
  <si>
    <t>Computrabajo / Indeed Chile / Glassdoor Chile</t>
  </si>
  <si>
    <t>Glassdoor Chile / Computrabajo / Trabajando.com</t>
  </si>
  <si>
    <t>948.000 - 1.500.000</t>
  </si>
  <si>
    <t>1.200.000</t>
  </si>
  <si>
    <t>Glassdoor Chile</t>
  </si>
  <si>
    <t>4.500 - 10.000</t>
  </si>
  <si>
    <t>900.000 - 2.000.000</t>
  </si>
  <si>
    <t>Glassdoor / MiFuturo.cl / Indeed.cl</t>
  </si>
  <si>
    <t>6.100 - 13.800</t>
  </si>
  <si>
    <t>900.000 - 2.200.000</t>
  </si>
  <si>
    <t>1.400.000</t>
  </si>
  <si>
    <t>5.000 - 12.500</t>
  </si>
  <si>
    <t>800.000 - 2.000.000</t>
  </si>
  <si>
    <t>700.000 - 1.800.000</t>
  </si>
  <si>
    <t>1.250.000</t>
  </si>
  <si>
    <t>Inicio de Proyecto</t>
  </si>
  <si>
    <t>Planificación</t>
  </si>
  <si>
    <t>Diseño y desarrollo</t>
  </si>
  <si>
    <t>Programacion del Avatar</t>
  </si>
  <si>
    <t>Integración de módulos</t>
  </si>
  <si>
    <t>Validación y pruebas del sistema avatar</t>
  </si>
  <si>
    <t>Documentacion técnica</t>
  </si>
  <si>
    <t>Instancia t3.medium</t>
  </si>
  <si>
    <t>Almacenamiento S3</t>
  </si>
  <si>
    <t>EC2 + S3</t>
  </si>
  <si>
    <t>EC2 CPU</t>
  </si>
  <si>
    <t>Lambda + S3</t>
  </si>
  <si>
    <t>EC2 spot</t>
  </si>
  <si>
    <t>S3 + Git</t>
  </si>
  <si>
    <t>6 (60GB - mes)</t>
  </si>
  <si>
    <t>40 + 20</t>
  </si>
  <si>
    <t>160 + 10</t>
  </si>
  <si>
    <t>5 + 10</t>
  </si>
  <si>
    <t>4,8 + 8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</si>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</sst>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_ * #,##0_ ;_ * \-#,##0_ ;_ * &quot;-&quot;_ ;_ @_ "/>
    <numFmt numFmtId="165" formatCode="_ * #,##0.0000_ ;_ * \-#,##0.0000_ ;_ * &quot;-&quot;_ ;_ @_ "/>
    <numFmt numFmtId="166" formatCode="_ * #,##0.00_ ;_ * \-#,##0.00_ ;_ * &quot;-&quot;_ ;_ @_ 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9"/>
      <color rgb="FF333333"/>
      <name val="Arial"/>
      <family val="2"/>
    </font>
    <font>
      <b/>
      <sz val="9.9"/>
      <color rgb="FF2C5282"/>
      <name val="Arial"/>
      <family val="2"/>
    </font>
    <font>
      <sz val="12"/>
      <color rgb="FF000000"/>
      <name val="Calibri"/>
      <family val="2"/>
      <scheme val="minor"/>
    </font>
    <font>
      <b/>
      <sz val="11"/>
      <name val="Calibri"/>
      <family val="2"/>
    </font>
    <font>
      <b/>
      <sz val="9.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9">
    <xf numFmtId="0" fontId="0" fillId="0" borderId="0" xfId="0"/>
    <xf numFmtId="10" fontId="0" fillId="0" borderId="0" xfId="0" applyNumberFormat="1"/>
    <xf numFmtId="0" fontId="0" fillId="4" borderId="0" xfId="0" applyFill="1"/>
    <xf numFmtId="0" fontId="0" fillId="3" borderId="0" xfId="0" applyFill="1"/>
    <xf numFmtId="0" fontId="0" fillId="2" borderId="0" xfId="0" applyFill="1"/>
    <xf numFmtId="0" fontId="0" fillId="5" borderId="1" xfId="0" applyFill="1" applyBorder="1"/>
    <xf numFmtId="0" fontId="0" fillId="5" borderId="2" xfId="0" applyFill="1" applyBorder="1"/>
    <xf numFmtId="164" fontId="0" fillId="5" borderId="2" xfId="0" applyNumberFormat="1" applyFill="1" applyBorder="1"/>
    <xf numFmtId="164" fontId="0" fillId="5" borderId="2" xfId="1" applyFont="1" applyFill="1" applyBorder="1"/>
    <xf numFmtId="0" fontId="0" fillId="0" borderId="0" xfId="0" applyAlignment="1">
      <alignment vertical="center"/>
    </xf>
    <xf numFmtId="0" fontId="7" fillId="2" borderId="3" xfId="0" applyFont="1" applyFill="1" applyBorder="1" applyAlignment="1">
      <alignment horizontal="center" vertical="top"/>
    </xf>
    <xf numFmtId="0" fontId="0" fillId="3" borderId="3" xfId="0" applyFill="1" applyBorder="1" applyAlignment="1">
      <alignment horizontal="center" vertical="center"/>
    </xf>
    <xf numFmtId="166" fontId="0" fillId="3" borderId="3" xfId="1" applyNumberFormat="1" applyFont="1" applyFill="1" applyBorder="1" applyAlignment="1">
      <alignment horizontal="center" vertical="center"/>
    </xf>
    <xf numFmtId="165" fontId="0" fillId="3" borderId="3" xfId="1" applyNumberFormat="1" applyFont="1" applyFill="1" applyBorder="1" applyAlignment="1">
      <alignment horizontal="center" vertical="center"/>
    </xf>
    <xf numFmtId="164" fontId="0" fillId="3" borderId="3" xfId="1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166" fontId="0" fillId="4" borderId="3" xfId="1" applyNumberFormat="1" applyFont="1" applyFill="1" applyBorder="1" applyAlignment="1">
      <alignment horizontal="center" vertical="center"/>
    </xf>
    <xf numFmtId="165" fontId="0" fillId="4" borderId="3" xfId="1" applyNumberFormat="1" applyFont="1" applyFill="1" applyBorder="1" applyAlignment="1">
      <alignment horizontal="center" vertical="center"/>
    </xf>
    <xf numFmtId="164" fontId="0" fillId="4" borderId="3" xfId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3" fillId="4" borderId="3" xfId="0" applyFont="1" applyFill="1" applyBorder="1"/>
    <xf numFmtId="164" fontId="3" fillId="4" borderId="3" xfId="1" applyFont="1" applyFill="1" applyBorder="1"/>
    <xf numFmtId="0" fontId="1" fillId="2" borderId="3" xfId="0" applyFont="1" applyFill="1" applyBorder="1" applyAlignment="1">
      <alignment horizontal="center" vertical="center"/>
    </xf>
    <xf numFmtId="0" fontId="0" fillId="3" borderId="3" xfId="1" applyNumberFormat="1" applyFont="1" applyFill="1" applyBorder="1" applyAlignment="1">
      <alignment horizontal="center" vertical="center"/>
    </xf>
    <xf numFmtId="0" fontId="0" fillId="4" borderId="3" xfId="1" applyNumberFormat="1" applyFont="1" applyFill="1" applyBorder="1" applyAlignment="1">
      <alignment horizontal="center" vertical="center"/>
    </xf>
    <xf numFmtId="164" fontId="0" fillId="4" borderId="3" xfId="1" applyFont="1" applyFill="1" applyBorder="1"/>
    <xf numFmtId="164" fontId="0" fillId="4" borderId="3" xfId="0" applyNumberFormat="1" applyFill="1" applyBorder="1"/>
    <xf numFmtId="44" fontId="5" fillId="3" borderId="3" xfId="2" applyFont="1" applyFill="1" applyBorder="1" applyAlignment="1">
      <alignment horizontal="center" vertical="center" wrapText="1"/>
    </xf>
    <xf numFmtId="0" fontId="5" fillId="3" borderId="3" xfId="2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3" fontId="4" fillId="4" borderId="3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3" fontId="5" fillId="4" borderId="3" xfId="0" applyNumberFormat="1" applyFont="1" applyFill="1" applyBorder="1" applyAlignment="1">
      <alignment horizontal="center" vertical="center" wrapText="1"/>
    </xf>
    <xf numFmtId="44" fontId="5" fillId="4" borderId="3" xfId="2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</cellXfs>
  <cellStyles count="3">
    <cellStyle name="Millares [0]" xfId="1" builtinId="6"/>
    <cellStyle name="Mon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15"/>
  <sheetViews>
    <sheetView tabSelected="1" workbookViewId="0">
      <selection activeCell="I11" sqref="I11:J11"/>
    </sheetView>
  </sheetViews>
  <sheetFormatPr baseColWidth="10" defaultColWidth="8.85546875" defaultRowHeight="15" x14ac:dyDescent="0.25"/>
  <cols>
    <col min="1" max="1" width="26.28515625" bestFit="1" customWidth="1"/>
    <col min="2" max="2" width="16.28515625" customWidth="1"/>
    <col min="3" max="3" width="21.85546875" customWidth="1"/>
    <col min="4" max="4" width="20" bestFit="1" customWidth="1"/>
    <col min="5" max="5" width="9.85546875" customWidth="1"/>
    <col min="6" max="6" width="19.7109375" customWidth="1"/>
    <col min="7" max="7" width="25.7109375" customWidth="1"/>
    <col min="8" max="8" width="18.7109375" bestFit="1" customWidth="1"/>
    <col min="9" max="9" width="16.28515625" bestFit="1" customWidth="1"/>
    <col min="10" max="10" width="15.28515625" bestFit="1" customWidth="1"/>
  </cols>
  <sheetData>
    <row r="2" spans="1:20" ht="15.75" thickBot="1" x14ac:dyDescent="0.3"/>
    <row r="3" spans="1:20" s="4" customFormat="1" ht="15.75" thickBot="1" x14ac:dyDescent="0.3">
      <c r="A3" s="23" t="s">
        <v>0</v>
      </c>
      <c r="B3" s="23" t="s">
        <v>1</v>
      </c>
      <c r="C3" s="23" t="s">
        <v>2</v>
      </c>
      <c r="D3" s="23" t="s">
        <v>3</v>
      </c>
      <c r="E3" s="23" t="s">
        <v>4</v>
      </c>
      <c r="F3" s="23" t="s">
        <v>5</v>
      </c>
      <c r="G3" s="23" t="s">
        <v>6</v>
      </c>
      <c r="H3" s="23" t="s">
        <v>7</v>
      </c>
      <c r="I3" s="23" t="s">
        <v>8</v>
      </c>
      <c r="J3" s="23" t="s">
        <v>9</v>
      </c>
      <c r="K3" s="6"/>
      <c r="L3" s="5"/>
      <c r="M3" s="5"/>
      <c r="N3" s="5"/>
      <c r="O3" s="5"/>
      <c r="P3" s="5"/>
      <c r="Q3" s="5"/>
      <c r="R3" s="5"/>
      <c r="S3" s="5"/>
      <c r="T3" s="5"/>
    </row>
    <row r="4" spans="1:20" s="3" customFormat="1" ht="15.75" thickBot="1" x14ac:dyDescent="0.3">
      <c r="A4" s="11" t="s">
        <v>56</v>
      </c>
      <c r="B4" s="11">
        <v>40</v>
      </c>
      <c r="C4" s="11">
        <v>35</v>
      </c>
      <c r="D4" s="11" t="s">
        <v>63</v>
      </c>
      <c r="E4" s="11">
        <v>1</v>
      </c>
      <c r="F4" s="11">
        <v>4.1599999999999998E-2</v>
      </c>
      <c r="G4" s="11">
        <v>0.1</v>
      </c>
      <c r="H4" s="24">
        <v>1400</v>
      </c>
      <c r="I4" s="24">
        <v>2</v>
      </c>
      <c r="J4" s="24">
        <v>1402</v>
      </c>
      <c r="K4" s="6"/>
      <c r="L4" s="5"/>
      <c r="M4" s="5"/>
      <c r="N4" s="5"/>
      <c r="O4" s="5"/>
      <c r="P4" s="5"/>
      <c r="Q4" s="5"/>
      <c r="R4" s="5"/>
      <c r="S4" s="5"/>
      <c r="T4" s="5"/>
    </row>
    <row r="5" spans="1:20" s="2" customFormat="1" ht="15.75" thickBot="1" x14ac:dyDescent="0.3">
      <c r="A5" s="16" t="s">
        <v>57</v>
      </c>
      <c r="B5" s="15">
        <v>60</v>
      </c>
      <c r="C5" s="15">
        <v>35</v>
      </c>
      <c r="D5" s="15" t="s">
        <v>64</v>
      </c>
      <c r="E5" s="15">
        <v>1</v>
      </c>
      <c r="F5" s="15">
        <v>0</v>
      </c>
      <c r="G5" s="15">
        <v>0.1</v>
      </c>
      <c r="H5" s="25">
        <v>2100</v>
      </c>
      <c r="I5" s="25" t="s">
        <v>70</v>
      </c>
      <c r="J5" s="25">
        <v>2106</v>
      </c>
      <c r="K5" s="6"/>
      <c r="L5" s="5"/>
      <c r="M5" s="5"/>
      <c r="N5" s="5"/>
      <c r="O5" s="5"/>
      <c r="P5" s="5"/>
      <c r="Q5" s="5"/>
      <c r="R5" s="5"/>
      <c r="S5" s="5"/>
      <c r="T5" s="5"/>
    </row>
    <row r="6" spans="1:20" s="3" customFormat="1" ht="15.75" thickBot="1" x14ac:dyDescent="0.3">
      <c r="A6" s="20" t="s">
        <v>58</v>
      </c>
      <c r="B6" s="11">
        <v>200</v>
      </c>
      <c r="C6" s="11">
        <v>35</v>
      </c>
      <c r="D6" s="11" t="s">
        <v>65</v>
      </c>
      <c r="E6" s="11">
        <v>2</v>
      </c>
      <c r="F6" s="11">
        <v>0.1</v>
      </c>
      <c r="G6" s="11">
        <v>0.1</v>
      </c>
      <c r="H6" s="24">
        <v>7000</v>
      </c>
      <c r="I6" s="24" t="s">
        <v>71</v>
      </c>
      <c r="J6" s="24">
        <v>7060</v>
      </c>
      <c r="K6" s="6"/>
      <c r="L6" s="5"/>
      <c r="M6" s="5"/>
      <c r="N6" s="5"/>
      <c r="O6" s="5"/>
      <c r="P6" s="5"/>
      <c r="Q6" s="5"/>
      <c r="R6" s="5"/>
      <c r="S6" s="5"/>
      <c r="T6" s="5"/>
    </row>
    <row r="7" spans="1:20" s="2" customFormat="1" ht="15.75" thickBot="1" x14ac:dyDescent="0.3">
      <c r="A7" s="16" t="s">
        <v>59</v>
      </c>
      <c r="B7" s="15">
        <v>160</v>
      </c>
      <c r="C7" s="15">
        <v>35</v>
      </c>
      <c r="D7" s="15" t="s">
        <v>66</v>
      </c>
      <c r="E7" s="15">
        <v>1</v>
      </c>
      <c r="F7" s="15">
        <v>1</v>
      </c>
      <c r="G7" s="15">
        <v>0.1</v>
      </c>
      <c r="H7" s="25">
        <v>5600</v>
      </c>
      <c r="I7" s="25" t="s">
        <v>72</v>
      </c>
      <c r="J7" s="25">
        <v>5770</v>
      </c>
      <c r="K7" s="6"/>
      <c r="L7" s="5"/>
      <c r="M7" s="5"/>
      <c r="N7" s="5"/>
      <c r="O7" s="5"/>
      <c r="P7" s="5"/>
      <c r="Q7" s="5"/>
      <c r="R7" s="5"/>
      <c r="S7" s="5"/>
      <c r="T7" s="5"/>
    </row>
    <row r="8" spans="1:20" s="3" customFormat="1" ht="15.75" thickBot="1" x14ac:dyDescent="0.3">
      <c r="A8" s="20" t="s">
        <v>60</v>
      </c>
      <c r="B8" s="11">
        <v>100</v>
      </c>
      <c r="C8" s="11">
        <v>35</v>
      </c>
      <c r="D8" s="11" t="s">
        <v>67</v>
      </c>
      <c r="E8" s="11">
        <v>1</v>
      </c>
      <c r="F8" s="11">
        <v>0.05</v>
      </c>
      <c r="G8" s="11">
        <v>0.1</v>
      </c>
      <c r="H8" s="24">
        <v>3500</v>
      </c>
      <c r="I8" s="24" t="s">
        <v>73</v>
      </c>
      <c r="J8" s="24">
        <v>3515</v>
      </c>
      <c r="K8" s="7"/>
      <c r="L8" s="5"/>
      <c r="M8" s="5"/>
      <c r="N8" s="5"/>
      <c r="O8" s="5"/>
      <c r="P8" s="5"/>
      <c r="Q8" s="5"/>
      <c r="R8" s="5"/>
      <c r="S8" s="5"/>
      <c r="T8" s="5"/>
    </row>
    <row r="9" spans="1:20" s="2" customFormat="1" ht="30.75" thickBot="1" x14ac:dyDescent="0.3">
      <c r="A9" s="16" t="s">
        <v>61</v>
      </c>
      <c r="B9" s="15">
        <v>80</v>
      </c>
      <c r="C9" s="15">
        <v>35</v>
      </c>
      <c r="D9" s="15" t="s">
        <v>68</v>
      </c>
      <c r="E9" s="15">
        <v>2</v>
      </c>
      <c r="F9" s="15">
        <v>0.03</v>
      </c>
      <c r="G9" s="15">
        <v>0.1</v>
      </c>
      <c r="H9" s="15">
        <v>2800</v>
      </c>
      <c r="I9" s="15" t="s">
        <v>74</v>
      </c>
      <c r="J9" s="15">
        <v>2813</v>
      </c>
      <c r="K9" s="6"/>
      <c r="L9" s="5"/>
      <c r="M9" s="5"/>
      <c r="N9" s="5"/>
      <c r="O9" s="5"/>
      <c r="P9" s="5"/>
      <c r="Q9" s="5"/>
      <c r="R9" s="5"/>
      <c r="S9" s="5"/>
      <c r="T9" s="5"/>
    </row>
    <row r="10" spans="1:20" s="3" customFormat="1" ht="15.75" thickBot="1" x14ac:dyDescent="0.3">
      <c r="A10" s="20" t="s">
        <v>62</v>
      </c>
      <c r="B10" s="11">
        <v>30</v>
      </c>
      <c r="C10" s="11">
        <v>35</v>
      </c>
      <c r="D10" s="11" t="s">
        <v>69</v>
      </c>
      <c r="E10" s="11">
        <v>1</v>
      </c>
      <c r="F10" s="11">
        <v>0</v>
      </c>
      <c r="G10" s="11">
        <v>0.1</v>
      </c>
      <c r="H10" s="11">
        <v>1050</v>
      </c>
      <c r="I10" s="11">
        <v>3</v>
      </c>
      <c r="J10" s="11">
        <v>1053</v>
      </c>
      <c r="K10" s="8"/>
      <c r="L10" s="5"/>
      <c r="M10" s="5"/>
      <c r="N10" s="5"/>
      <c r="O10" s="5"/>
      <c r="P10" s="5"/>
      <c r="Q10" s="5"/>
      <c r="R10" s="5"/>
      <c r="S10" s="5"/>
      <c r="T10" s="5"/>
    </row>
    <row r="11" spans="1:20" ht="15.75" thickBot="1" x14ac:dyDescent="0.3">
      <c r="I11" s="26" t="s">
        <v>75</v>
      </c>
      <c r="J11" s="27">
        <f>SUM(J4:J10)</f>
        <v>23719</v>
      </c>
    </row>
    <row r="15" spans="1:20" x14ac:dyDescent="0.25">
      <c r="D15" s="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3"/>
  <sheetViews>
    <sheetView workbookViewId="0">
      <selection activeCell="F13" sqref="F13"/>
    </sheetView>
  </sheetViews>
  <sheetFormatPr baseColWidth="10" defaultColWidth="8.85546875" defaultRowHeight="15" x14ac:dyDescent="0.25"/>
  <cols>
    <col min="2" max="2" width="13.28515625" customWidth="1"/>
    <col min="3" max="3" width="24.28515625" bestFit="1" customWidth="1"/>
    <col min="4" max="4" width="16.28515625" bestFit="1" customWidth="1"/>
    <col min="5" max="5" width="15.42578125" bestFit="1" customWidth="1"/>
    <col min="6" max="6" width="18.85546875" bestFit="1" customWidth="1"/>
  </cols>
  <sheetData>
    <row r="1" spans="2:6" x14ac:dyDescent="0.25">
      <c r="B1" t="s">
        <v>15</v>
      </c>
      <c r="C1" s="1">
        <v>1.17E-2</v>
      </c>
      <c r="E1" t="s">
        <v>16</v>
      </c>
    </row>
    <row r="2" spans="2:6" x14ac:dyDescent="0.25">
      <c r="B2" t="s">
        <v>13</v>
      </c>
    </row>
    <row r="3" spans="2:6" x14ac:dyDescent="0.25">
      <c r="B3" t="s">
        <v>14</v>
      </c>
    </row>
    <row r="4" spans="2:6" ht="15.75" thickBot="1" x14ac:dyDescent="0.3"/>
    <row r="5" spans="2:6" ht="15.75" thickBot="1" x14ac:dyDescent="0.3">
      <c r="B5" s="10" t="s">
        <v>10</v>
      </c>
      <c r="C5" s="10" t="s">
        <v>11</v>
      </c>
      <c r="D5" s="10" t="s">
        <v>17</v>
      </c>
      <c r="E5" s="10" t="s">
        <v>12</v>
      </c>
      <c r="F5" s="10" t="s">
        <v>18</v>
      </c>
    </row>
    <row r="6" spans="2:6" ht="15.75" thickBot="1" x14ac:dyDescent="0.3">
      <c r="B6" s="11">
        <v>1</v>
      </c>
      <c r="C6" s="11" t="s">
        <v>56</v>
      </c>
      <c r="D6" s="12">
        <v>2000</v>
      </c>
      <c r="E6" s="13">
        <f t="shared" ref="E6:E12" si="0">1/(1+$C$1)^(B6-1)</f>
        <v>1</v>
      </c>
      <c r="F6" s="14">
        <f>D6*E6</f>
        <v>2000</v>
      </c>
    </row>
    <row r="7" spans="2:6" ht="15.75" thickBot="1" x14ac:dyDescent="0.3">
      <c r="B7" s="15">
        <v>1</v>
      </c>
      <c r="C7" s="16" t="s">
        <v>57</v>
      </c>
      <c r="D7" s="17">
        <v>3000</v>
      </c>
      <c r="E7" s="18">
        <f t="shared" si="0"/>
        <v>1</v>
      </c>
      <c r="F7" s="19">
        <f t="shared" ref="F7:F12" si="1">D7*E7</f>
        <v>3000</v>
      </c>
    </row>
    <row r="8" spans="2:6" ht="15.75" thickBot="1" x14ac:dyDescent="0.3">
      <c r="B8" s="11">
        <v>2</v>
      </c>
      <c r="C8" s="20" t="s">
        <v>58</v>
      </c>
      <c r="D8" s="12">
        <v>10000</v>
      </c>
      <c r="E8" s="13">
        <f t="shared" si="0"/>
        <v>0.9884353069091627</v>
      </c>
      <c r="F8" s="14">
        <f t="shared" si="1"/>
        <v>9884.3530690916268</v>
      </c>
    </row>
    <row r="9" spans="2:6" ht="15.75" thickBot="1" x14ac:dyDescent="0.3">
      <c r="B9" s="15">
        <v>2</v>
      </c>
      <c r="C9" s="16" t="s">
        <v>59</v>
      </c>
      <c r="D9" s="17">
        <v>8000</v>
      </c>
      <c r="E9" s="18">
        <f t="shared" si="0"/>
        <v>0.9884353069091627</v>
      </c>
      <c r="F9" s="19">
        <f t="shared" si="1"/>
        <v>7907.4824552733016</v>
      </c>
    </row>
    <row r="10" spans="2:6" ht="15.75" thickBot="1" x14ac:dyDescent="0.3">
      <c r="B10" s="11">
        <v>3</v>
      </c>
      <c r="C10" s="20" t="s">
        <v>60</v>
      </c>
      <c r="D10" s="12">
        <v>5000</v>
      </c>
      <c r="E10" s="14">
        <f t="shared" si="0"/>
        <v>0.97700435594461066</v>
      </c>
      <c r="F10" s="14">
        <f t="shared" si="1"/>
        <v>4885.0217797230534</v>
      </c>
    </row>
    <row r="11" spans="2:6" ht="29.25" customHeight="1" thickBot="1" x14ac:dyDescent="0.3">
      <c r="B11" s="15">
        <v>4</v>
      </c>
      <c r="C11" s="16" t="s">
        <v>61</v>
      </c>
      <c r="D11" s="17">
        <v>4000</v>
      </c>
      <c r="E11" s="19">
        <f t="shared" si="0"/>
        <v>0.96570560041970033</v>
      </c>
      <c r="F11" s="19">
        <f t="shared" si="1"/>
        <v>3862.8224016788013</v>
      </c>
    </row>
    <row r="12" spans="2:6" ht="15.75" thickBot="1" x14ac:dyDescent="0.3">
      <c r="B12" s="11">
        <v>4</v>
      </c>
      <c r="C12" s="20" t="s">
        <v>62</v>
      </c>
      <c r="D12" s="12">
        <v>1500</v>
      </c>
      <c r="E12" s="14">
        <f t="shared" si="0"/>
        <v>0.96570560041970033</v>
      </c>
      <c r="F12" s="14">
        <f t="shared" si="1"/>
        <v>1448.5584006295505</v>
      </c>
    </row>
    <row r="13" spans="2:6" ht="15.75" thickBot="1" x14ac:dyDescent="0.3">
      <c r="E13" s="21" t="s">
        <v>19</v>
      </c>
      <c r="F13" s="22">
        <f>SUM(F6:F12)</f>
        <v>32988.238106396333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40693-1E5F-4693-ACDE-10638AD787DD}">
  <dimension ref="B3:G12"/>
  <sheetViews>
    <sheetView workbookViewId="0">
      <selection activeCell="J12" sqref="J12"/>
    </sheetView>
  </sheetViews>
  <sheetFormatPr baseColWidth="10" defaultRowHeight="15" x14ac:dyDescent="0.25"/>
  <cols>
    <col min="2" max="3" width="17.140625" customWidth="1"/>
    <col min="4" max="4" width="18.7109375" customWidth="1"/>
    <col min="5" max="7" width="17.140625" customWidth="1"/>
  </cols>
  <sheetData>
    <row r="3" spans="2:7" ht="15.75" thickBot="1" x14ac:dyDescent="0.3"/>
    <row r="4" spans="2:7" ht="15.75" thickBot="1" x14ac:dyDescent="0.3">
      <c r="B4" s="38" t="s">
        <v>20</v>
      </c>
      <c r="C4" s="38" t="s">
        <v>21</v>
      </c>
      <c r="D4" s="38" t="s">
        <v>22</v>
      </c>
      <c r="E4" s="38" t="s">
        <v>23</v>
      </c>
      <c r="F4" s="38" t="s">
        <v>24</v>
      </c>
      <c r="G4" s="38" t="s">
        <v>25</v>
      </c>
    </row>
    <row r="5" spans="2:7" ht="34.5" customHeight="1" thickBot="1" x14ac:dyDescent="0.3">
      <c r="B5" s="38"/>
      <c r="C5" s="38"/>
      <c r="D5" s="38"/>
      <c r="E5" s="38"/>
      <c r="F5" s="38"/>
      <c r="G5" s="38"/>
    </row>
    <row r="6" spans="2:7" ht="39" thickBot="1" x14ac:dyDescent="0.3">
      <c r="B6" s="30" t="s">
        <v>31</v>
      </c>
      <c r="C6" s="31" t="s">
        <v>26</v>
      </c>
      <c r="D6" s="31" t="s">
        <v>37</v>
      </c>
      <c r="E6" s="32">
        <v>10769</v>
      </c>
      <c r="F6" s="28" t="s">
        <v>38</v>
      </c>
      <c r="G6" s="31" t="s">
        <v>42</v>
      </c>
    </row>
    <row r="7" spans="2:7" ht="39" thickBot="1" x14ac:dyDescent="0.3">
      <c r="B7" s="33" t="s">
        <v>32</v>
      </c>
      <c r="C7" s="34">
        <v>8745</v>
      </c>
      <c r="D7" s="35" t="s">
        <v>39</v>
      </c>
      <c r="E7" s="36">
        <v>8333</v>
      </c>
      <c r="F7" s="37" t="s">
        <v>40</v>
      </c>
      <c r="G7" s="35" t="s">
        <v>41</v>
      </c>
    </row>
    <row r="8" spans="2:7" ht="26.25" thickBot="1" x14ac:dyDescent="0.3">
      <c r="B8" s="30" t="s">
        <v>33</v>
      </c>
      <c r="C8" s="31">
        <v>5000</v>
      </c>
      <c r="D8" s="31" t="s">
        <v>43</v>
      </c>
      <c r="E8" s="32">
        <v>8616</v>
      </c>
      <c r="F8" s="28" t="s">
        <v>44</v>
      </c>
      <c r="G8" s="31" t="s">
        <v>45</v>
      </c>
    </row>
    <row r="9" spans="2:7" ht="39" thickBot="1" x14ac:dyDescent="0.3">
      <c r="B9" s="33" t="s">
        <v>34</v>
      </c>
      <c r="C9" s="34" t="s">
        <v>46</v>
      </c>
      <c r="D9" s="35" t="s">
        <v>47</v>
      </c>
      <c r="E9" s="36">
        <v>7200</v>
      </c>
      <c r="F9" s="37" t="s">
        <v>40</v>
      </c>
      <c r="G9" s="35" t="s">
        <v>48</v>
      </c>
    </row>
    <row r="10" spans="2:7" ht="39" thickBot="1" x14ac:dyDescent="0.3">
      <c r="B10" s="30" t="s">
        <v>35</v>
      </c>
      <c r="C10" s="31" t="s">
        <v>49</v>
      </c>
      <c r="D10" s="31" t="s">
        <v>50</v>
      </c>
      <c r="E10" s="32">
        <v>7125</v>
      </c>
      <c r="F10" s="28" t="s">
        <v>51</v>
      </c>
      <c r="G10" s="31" t="s">
        <v>29</v>
      </c>
    </row>
    <row r="11" spans="2:7" ht="26.25" thickBot="1" x14ac:dyDescent="0.3">
      <c r="B11" s="33" t="s">
        <v>36</v>
      </c>
      <c r="C11" s="35" t="s">
        <v>46</v>
      </c>
      <c r="D11" s="35" t="s">
        <v>54</v>
      </c>
      <c r="E11" s="36">
        <v>7125</v>
      </c>
      <c r="F11" s="37" t="s">
        <v>55</v>
      </c>
      <c r="G11" s="35" t="s">
        <v>27</v>
      </c>
    </row>
    <row r="12" spans="2:7" ht="51.75" thickBot="1" x14ac:dyDescent="0.3">
      <c r="B12" s="30" t="s">
        <v>28</v>
      </c>
      <c r="C12" s="31" t="s">
        <v>52</v>
      </c>
      <c r="D12" s="31" t="s">
        <v>53</v>
      </c>
      <c r="E12" s="32">
        <v>6735</v>
      </c>
      <c r="F12" s="29">
        <v>917.62</v>
      </c>
      <c r="G12" s="31" t="s">
        <v>30</v>
      </c>
    </row>
  </sheetData>
  <mergeCells count="6">
    <mergeCell ref="G4:G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Tareas</vt:lpstr>
      <vt:lpstr>Flujo Caja</vt:lpstr>
      <vt:lpstr>Salarios del equipo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Alonso Ignacio Fouilloux Hinojosa</cp:lastModifiedBy>
  <dcterms:created xsi:type="dcterms:W3CDTF">2025-05-11T23:50:44Z</dcterms:created>
  <dcterms:modified xsi:type="dcterms:W3CDTF">2025-06-19T02:10:53Z</dcterms:modified>
</cp:coreProperties>
</file>